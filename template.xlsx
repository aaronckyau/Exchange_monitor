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xr:revisionPtr revIDLastSave="0" documentId="8_{19C0A32C-5BDD-FF45-8388-3A5ECD0D78FB}" xr6:coauthVersionLast="47" xr6:coauthVersionMax="47" xr10:uidLastSave="{00000000-0000-0000-0000-000000000000}"/>
  <bookViews>
    <workbookView xWindow="0" yWindow="0" windowWidth="28800" windowHeight="12375" activeTab="1" xr2:uid="{00000000-000D-0000-FFFF-FFFF00000000}"/>
  </bookViews>
  <sheets>
    <sheet name="需求" sheetId="2" r:id="rId1"/>
    <sheet name="模版" sheetId="1" r:id="rId2"/>
    <sheet name="汇率参考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3" l="1"/>
  <c r="J7" i="3"/>
  <c r="E7" i="3"/>
  <c r="D7" i="3"/>
  <c r="K6" i="3"/>
  <c r="J6" i="3"/>
  <c r="E6" i="3"/>
  <c r="D6" i="3"/>
  <c r="K5" i="3"/>
  <c r="J5" i="3"/>
  <c r="E5" i="3"/>
  <c r="D5" i="3"/>
  <c r="K4" i="3"/>
  <c r="J4" i="3"/>
  <c r="E4" i="3"/>
  <c r="D4" i="3"/>
  <c r="K3" i="3"/>
  <c r="J3" i="3"/>
  <c r="E3" i="3"/>
  <c r="D3" i="3"/>
  <c r="K2" i="3"/>
  <c r="J2" i="3"/>
  <c r="E2" i="3"/>
  <c r="D2" i="3"/>
</calcChain>
</file>

<file path=xl/sharedStrings.xml><?xml version="1.0" encoding="utf-8"?>
<sst xmlns="http://schemas.openxmlformats.org/spreadsheetml/2006/main" count="39" uniqueCount="35">
  <si>
    <t>需求</t>
  </si>
  <si>
    <r>
      <rPr>
        <sz val="11"/>
        <color rgb="FF000000"/>
        <rFont val="宋体"/>
        <charset val="204"/>
      </rPr>
      <t>数据源</t>
    </r>
    <r>
      <rPr>
        <sz val="11"/>
        <color rgb="FF000000"/>
        <rFont val="Arial"/>
        <charset val="204"/>
      </rPr>
      <t>/</t>
    </r>
    <r>
      <rPr>
        <sz val="11"/>
        <color rgb="FF000000"/>
        <rFont val="宋体"/>
        <charset val="204"/>
      </rPr>
      <t>备注</t>
    </r>
  </si>
  <si>
    <t>第一步</t>
  </si>
  <si>
    <t>自动从数据源中获取数据 (USD - HKD)的市场中间价</t>
  </si>
  <si>
    <r>
      <t>A</t>
    </r>
    <r>
      <rPr>
        <sz val="11"/>
        <color rgb="FF0000FF"/>
        <rFont val="新細明體"/>
        <scheme val="minor"/>
      </rPr>
      <t>aron的小程序</t>
    </r>
  </si>
  <si>
    <t>第二步</t>
  </si>
  <si>
    <r>
      <t>自动填充数据至</t>
    </r>
    <r>
      <rPr>
        <sz val="11"/>
        <color rgb="FF000000"/>
        <rFont val="Arial"/>
        <charset val="204"/>
      </rPr>
      <t>Excel</t>
    </r>
    <r>
      <rPr>
        <sz val="11"/>
        <color rgb="FF000000"/>
        <rFont val="宋体"/>
        <charset val="204"/>
      </rPr>
      <t>对应位置，三个位置都是填中间价（每</t>
    </r>
    <r>
      <rPr>
        <sz val="11"/>
        <color rgb="FF000000"/>
        <rFont val="Arial"/>
        <charset val="204"/>
      </rPr>
      <t>15</t>
    </r>
    <r>
      <rPr>
        <sz val="11"/>
        <color rgb="FF000000"/>
        <rFont val="宋体"/>
        <charset val="204"/>
      </rPr>
      <t>分钟）</t>
    </r>
  </si>
  <si>
    <t>Sheet2为长桥上传汇率的模版。此处以yahoo为例</t>
  </si>
  <si>
    <t>第三步</t>
  </si>
  <si>
    <r>
      <rPr>
        <sz val="11"/>
        <color rgb="FF000000"/>
        <rFont val="宋体"/>
        <charset val="204"/>
      </rPr>
      <t>需要将填充好的</t>
    </r>
    <r>
      <rPr>
        <sz val="11"/>
        <color rgb="FF000000"/>
        <rFont val="Arial"/>
        <charset val="204"/>
      </rPr>
      <t>Excel</t>
    </r>
    <r>
      <rPr>
        <sz val="11"/>
        <color rgb="FF000000"/>
        <rFont val="宋体"/>
        <charset val="204"/>
      </rPr>
      <t>传上后台</t>
    </r>
    <r>
      <rPr>
        <sz val="11"/>
        <color rgb="FF000000"/>
        <rFont val="Arial"/>
        <charset val="204"/>
      </rPr>
      <t xml:space="preserve"> </t>
    </r>
    <r>
      <rPr>
        <sz val="11"/>
        <color rgb="FF000000"/>
        <rFont val="宋体"/>
        <charset val="204"/>
      </rPr>
      <t>（每</t>
    </r>
    <r>
      <rPr>
        <sz val="11"/>
        <color rgb="FF000000"/>
        <rFont val="Arial"/>
        <charset val="204"/>
      </rPr>
      <t>15</t>
    </r>
    <r>
      <rPr>
        <sz val="11"/>
        <color rgb="FF000000"/>
        <rFont val="宋体"/>
        <charset val="204"/>
      </rPr>
      <t>分钟）。上传即覆盖。</t>
    </r>
  </si>
  <si>
    <t>WBO</t>
  </si>
  <si>
    <t>备注</t>
  </si>
  <si>
    <r>
      <t>因</t>
    </r>
    <r>
      <rPr>
        <sz val="11"/>
        <color rgb="FF000000"/>
        <rFont val="Arial"/>
        <charset val="204"/>
      </rPr>
      <t>WBO</t>
    </r>
    <r>
      <rPr>
        <sz val="11"/>
        <color rgb="FF000000"/>
        <rFont val="宋体"/>
        <charset val="204"/>
      </rPr>
      <t>有加点设置，它会自动根据模版和加点信息生成买入价和卖出价。因此，我们不需要在上传汇率模版时去自己计算买入价卖出价。统一一个数字让系统计算即可。</t>
    </r>
  </si>
  <si>
    <r>
      <rPr>
        <sz val="10"/>
        <rFont val="SimSun"/>
        <charset val="134"/>
      </rPr>
      <t>汇率类型</t>
    </r>
  </si>
  <si>
    <r>
      <rPr>
        <sz val="10"/>
        <rFont val="SimSun"/>
        <charset val="134"/>
      </rPr>
      <t>折算货币</t>
    </r>
  </si>
  <si>
    <r>
      <rPr>
        <sz val="10"/>
        <rFont val="SimSun"/>
        <charset val="134"/>
      </rPr>
      <t>基准货币</t>
    </r>
  </si>
  <si>
    <r>
      <rPr>
        <sz val="10"/>
        <rFont val="SimSun"/>
        <charset val="134"/>
      </rPr>
      <t>买入价</t>
    </r>
  </si>
  <si>
    <r>
      <rPr>
        <sz val="10"/>
        <rFont val="SimSun"/>
        <charset val="134"/>
      </rPr>
      <t>卖出价</t>
    </r>
  </si>
  <si>
    <r>
      <rPr>
        <sz val="10"/>
        <rFont val="SimSun"/>
        <charset val="134"/>
      </rPr>
      <t>中间折算价</t>
    </r>
  </si>
  <si>
    <r>
      <rPr>
        <sz val="10"/>
        <rFont val="SimSun"/>
        <charset val="134"/>
      </rPr>
      <t>发布日期</t>
    </r>
  </si>
  <si>
    <r>
      <rPr>
        <sz val="10"/>
        <rFont val="SimSun"/>
        <charset val="134"/>
      </rPr>
      <t>备注</t>
    </r>
  </si>
  <si>
    <r>
      <rPr>
        <sz val="10"/>
        <rFont val="SimSun"/>
        <charset val="134"/>
      </rPr>
      <t>账面汇率</t>
    </r>
  </si>
  <si>
    <t>USD</t>
  </si>
  <si>
    <t>HKD</t>
  </si>
  <si>
    <r>
      <rPr>
        <sz val="10"/>
        <rFont val="SimSun"/>
        <charset val="134"/>
      </rPr>
      <t>导入的汇率基准货币必须为本位币</t>
    </r>
  </si>
  <si>
    <r>
      <rPr>
        <sz val="10"/>
        <rFont val="SimSun"/>
        <charset val="134"/>
      </rPr>
      <t>即期汇率</t>
    </r>
  </si>
  <si>
    <r>
      <rPr>
        <sz val="11"/>
        <color rgb="FF000000"/>
        <rFont val="Arial"/>
        <charset val="204"/>
      </rPr>
      <t>HKD</t>
    </r>
    <r>
      <rPr>
        <sz val="11"/>
        <color rgb="FF000000"/>
        <rFont val="宋体"/>
        <charset val="204"/>
      </rPr>
      <t>兑换</t>
    </r>
    <r>
      <rPr>
        <sz val="11"/>
        <color rgb="FF000000"/>
        <rFont val="Arial"/>
        <charset val="204"/>
      </rPr>
      <t>USD</t>
    </r>
  </si>
  <si>
    <t>中银买入</t>
  </si>
  <si>
    <t>华盛买入</t>
  </si>
  <si>
    <t>自定义（大于华盛小于中银）</t>
  </si>
  <si>
    <r>
      <rPr>
        <sz val="11"/>
        <color rgb="FF000000"/>
        <rFont val="Arial"/>
        <charset val="204"/>
      </rPr>
      <t>USD</t>
    </r>
    <r>
      <rPr>
        <sz val="11"/>
        <color rgb="FF000000"/>
        <rFont val="宋体"/>
        <charset val="204"/>
      </rPr>
      <t>兑换</t>
    </r>
    <r>
      <rPr>
        <sz val="11"/>
        <color rgb="FF000000"/>
        <rFont val="Arial"/>
        <charset val="204"/>
      </rPr>
      <t>HKD</t>
    </r>
  </si>
  <si>
    <t>中银卖出</t>
  </si>
  <si>
    <t>华盛卖出</t>
  </si>
  <si>
    <t>自定义（小于华盛大于中银）</t>
  </si>
  <si>
    <r>
      <rPr>
        <sz val="11"/>
        <color rgb="FF000000"/>
        <rFont val="宋体"/>
        <charset val="204"/>
      </rPr>
      <t>以中银汇率</t>
    </r>
    <r>
      <rPr>
        <sz val="11"/>
        <color rgb="FFFF0000"/>
        <rFont val="宋体"/>
        <charset val="204"/>
      </rPr>
      <t>负加点</t>
    </r>
    <r>
      <rPr>
        <sz val="11"/>
        <color rgb="FFFF0000"/>
        <rFont val="Arial"/>
        <charset val="204"/>
      </rPr>
      <t>0.1%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</si>
</sst>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00_ "/>
    <numFmt numFmtId="181" formatCode="d/mm/yyyy;@"/>
  </numFmts>
  <fonts count="10" x14ac:knownFonts="1">
    <font>
      <sz val="11"/>
      <color rgb="FF000000"/>
      <name val="Arial"/>
      <charset val="204"/>
    </font>
    <font>
      <sz val="11"/>
      <color rgb="FF000000"/>
      <name val="宋体"/>
      <charset val="204"/>
    </font>
    <font>
      <sz val="10"/>
      <name val="Arial"/>
      <charset val="134"/>
    </font>
    <font>
      <sz val="10"/>
      <color rgb="FF000000"/>
      <name val="Arial"/>
      <charset val="134"/>
    </font>
    <font>
      <sz val="10"/>
      <color rgb="FF000000"/>
      <name val="SimSun"/>
      <charset val="134"/>
    </font>
    <font>
      <u/>
      <sz val="11"/>
      <color rgb="FF0000FF"/>
      <name val="新細明體"/>
      <scheme val="minor"/>
    </font>
    <font>
      <sz val="10"/>
      <name val="SimSun"/>
      <charset val="134"/>
    </font>
    <font>
      <sz val="11"/>
      <color rgb="FFFF0000"/>
      <name val="宋体"/>
      <charset val="204"/>
    </font>
    <font>
      <sz val="11"/>
      <color rgb="FFFF0000"/>
      <name val="Arial"/>
      <charset val="204"/>
    </font>
    <font>
      <sz val="11"/>
      <color rgb="FF0000FF"/>
      <name val="新細明體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16">
    <xf numFmtId="0" fontId="0" fillId="0" borderId="0" xfId="0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58" fontId="0" fillId="0" borderId="0" xfId="0" applyNumberFormat="1" applyFill="1" applyBorder="1" applyAlignment="1">
      <alignment horizontal="left" vertical="top" wrapText="1"/>
    </xf>
    <xf numFmtId="0" fontId="0" fillId="0" borderId="0" xfId="0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left" vertical="top" wrapText="1"/>
    </xf>
    <xf numFmtId="180" fontId="3" fillId="2" borderId="1" xfId="0" applyNumberFormat="1" applyFont="1" applyFill="1" applyBorder="1" applyAlignment="1">
      <alignment horizontal="left" vertical="top" wrapText="1"/>
    </xf>
    <xf numFmtId="181" fontId="4" fillId="2" borderId="1" xfId="0" applyNumberFormat="1" applyFont="1" applyFill="1" applyBorder="1" applyAlignment="1">
      <alignment horizontal="left" vertical="top" wrapText="1"/>
    </xf>
    <xf numFmtId="0" fontId="0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ont="1" applyFill="1" applyBorder="1" applyAlignment="1">
      <alignment vertical="top" wrapText="1"/>
    </xf>
    <xf numFmtId="0" fontId="5" fillId="0" borderId="0" xfId="1" applyFont="1" applyFill="1" applyBorder="1" applyAlignment="1">
      <alignment horizontal="left" vertical="top" wrapText="1"/>
    </xf>
    <xf numFmtId="0" fontId="5" fillId="0" borderId="0" xfId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6</xdr:row>
      <xdr:rowOff>45085</xdr:rowOff>
    </xdr:from>
    <xdr:to>
      <xdr:col>2</xdr:col>
      <xdr:colOff>2896235</xdr:colOff>
      <xdr:row>14</xdr:row>
      <xdr:rowOff>57150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130935"/>
          <a:ext cx="8467725" cy="1459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4667885</xdr:colOff>
      <xdr:row>0</xdr:row>
      <xdr:rowOff>635</xdr:rowOff>
    </xdr:from>
    <xdr:to>
      <xdr:col>9</xdr:col>
      <xdr:colOff>619125</xdr:colOff>
      <xdr:row>14</xdr:row>
      <xdr:rowOff>114935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40010" y="635"/>
          <a:ext cx="5238115" cy="2647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hyperlink" Target="https://www.bochk.com/tc/investment/rates/hkdrates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B26" sqref="B26"/>
    </sheetView>
  </sheetViews>
  <sheetFormatPr defaultColWidth="8.94921875" defaultRowHeight="13.5" x14ac:dyDescent="0.15"/>
  <cols>
    <col min="2" max="2" width="64.1171875" customWidth="1"/>
    <col min="3" max="3" width="67.9140625" customWidth="1"/>
  </cols>
  <sheetData>
    <row r="1" spans="1:3" ht="15" x14ac:dyDescent="0.1">
      <c r="A1" s="2" t="s">
        <v>0</v>
      </c>
      <c r="C1" s="2" t="s">
        <v>1</v>
      </c>
    </row>
    <row r="2" spans="1:3" x14ac:dyDescent="0.1">
      <c r="A2" s="2" t="s">
        <v>2</v>
      </c>
      <c r="B2" s="2" t="s">
        <v>3</v>
      </c>
      <c r="C2" s="12" t="s">
        <v>4</v>
      </c>
    </row>
    <row r="3" spans="1:3" ht="14.25" x14ac:dyDescent="0.15">
      <c r="B3" s="2"/>
      <c r="C3" s="13"/>
    </row>
    <row r="4" spans="1:3" ht="15" x14ac:dyDescent="0.1">
      <c r="A4" s="2" t="s">
        <v>5</v>
      </c>
      <c r="B4" s="2" t="s">
        <v>6</v>
      </c>
      <c r="C4" s="2" t="s">
        <v>7</v>
      </c>
    </row>
    <row r="6" spans="1:3" ht="15" x14ac:dyDescent="0.1">
      <c r="A6" s="2" t="s">
        <v>8</v>
      </c>
      <c r="B6" s="2" t="s">
        <v>9</v>
      </c>
      <c r="C6" t="s">
        <v>10</v>
      </c>
    </row>
    <row r="17" spans="1:2" ht="36.75" x14ac:dyDescent="0.1">
      <c r="A17" s="2" t="s">
        <v>11</v>
      </c>
      <c r="B17" s="2" t="s">
        <v>12</v>
      </c>
    </row>
  </sheetData>
  <hyperlinks>
    <hyperlink ref="C2" r:id="rId1" xr:uid="{00000000-0004-0000-0000-000000000000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selection activeCell="E26" sqref="E26"/>
    </sheetView>
  </sheetViews>
  <sheetFormatPr defaultColWidth="8.94921875" defaultRowHeight="13.5" x14ac:dyDescent="0.15"/>
  <cols>
    <col min="1" max="1" width="11.5234375" style="1" customWidth="1"/>
    <col min="2" max="3" width="15.69140625" style="1" customWidth="1"/>
    <col min="4" max="4" width="17.28515625" style="1" customWidth="1"/>
    <col min="5" max="5" width="15.69140625" style="1" customWidth="1"/>
    <col min="6" max="6" width="17.28515625" style="4" customWidth="1"/>
    <col min="7" max="7" width="15.69140625" style="1" customWidth="1"/>
    <col min="8" max="8" width="27.4609375" style="1" customWidth="1"/>
    <col min="9" max="16384" width="8.94921875" style="1"/>
  </cols>
  <sheetData>
    <row r="1" spans="1:8" ht="15.6" customHeight="1" x14ac:dyDescent="0.1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6" t="s">
        <v>18</v>
      </c>
      <c r="G1" s="5" t="s">
        <v>19</v>
      </c>
      <c r="H1" s="5" t="s">
        <v>20</v>
      </c>
    </row>
    <row r="2" spans="1:8" ht="12.75" customHeight="1" x14ac:dyDescent="0.15">
      <c r="A2" s="5" t="s">
        <v>21</v>
      </c>
      <c r="B2" s="7" t="s">
        <v>22</v>
      </c>
      <c r="C2" s="7" t="s">
        <v>23</v>
      </c>
      <c r="D2" s="8">
        <v>7.8381999999999996</v>
      </c>
      <c r="E2" s="8">
        <v>7.8381999999999996</v>
      </c>
      <c r="F2" s="8">
        <v>7.8381999999999996</v>
      </c>
      <c r="G2" s="9">
        <v>46113</v>
      </c>
      <c r="H2" s="5" t="s">
        <v>24</v>
      </c>
    </row>
    <row r="3" spans="1:8" ht="12.75" customHeight="1" x14ac:dyDescent="0.15">
      <c r="A3" s="5" t="s">
        <v>25</v>
      </c>
      <c r="B3" s="7" t="s">
        <v>22</v>
      </c>
      <c r="C3" s="7" t="s">
        <v>23</v>
      </c>
      <c r="D3" s="8">
        <v>7.8381999999999996</v>
      </c>
      <c r="E3" s="8">
        <v>7.8381999999999996</v>
      </c>
      <c r="F3" s="8">
        <v>7.8381999999999996</v>
      </c>
      <c r="G3" s="9">
        <v>46113</v>
      </c>
      <c r="H3" s="5" t="s">
        <v>24</v>
      </c>
    </row>
    <row r="4" spans="1:8" ht="12.75" customHeight="1" x14ac:dyDescent="0.15">
      <c r="A4" s="10"/>
      <c r="B4" s="10"/>
      <c r="C4" s="10"/>
      <c r="D4" s="10"/>
      <c r="E4" s="10"/>
      <c r="F4" s="11"/>
      <c r="G4" s="10"/>
      <c r="H4" s="10"/>
    </row>
    <row r="5" spans="1:8" ht="12.95" customHeight="1" x14ac:dyDescent="0.15">
      <c r="A5" s="10"/>
      <c r="B5" s="10"/>
      <c r="C5" s="10"/>
      <c r="D5" s="10"/>
      <c r="E5" s="10"/>
      <c r="F5" s="11"/>
      <c r="G5" s="10"/>
      <c r="H5" s="10"/>
    </row>
    <row r="6" spans="1:8" ht="12.75" customHeight="1" x14ac:dyDescent="0.15">
      <c r="A6" s="10"/>
      <c r="B6" s="10"/>
      <c r="C6" s="10"/>
      <c r="D6" s="10"/>
      <c r="E6" s="10"/>
      <c r="F6" s="11"/>
      <c r="G6" s="10"/>
      <c r="H6" s="10"/>
    </row>
    <row r="7" spans="1:8" ht="12.75" customHeight="1" x14ac:dyDescent="0.15">
      <c r="A7" s="10"/>
      <c r="B7" s="10"/>
      <c r="C7" s="10"/>
      <c r="D7" s="10"/>
      <c r="E7" s="10"/>
      <c r="F7" s="11"/>
      <c r="G7" s="10"/>
      <c r="H7" s="10"/>
    </row>
    <row r="8" spans="1:8" ht="13.35" customHeight="1" x14ac:dyDescent="0.15">
      <c r="A8" s="10"/>
      <c r="B8" s="10"/>
      <c r="C8" s="10"/>
      <c r="D8" s="10"/>
      <c r="E8" s="10"/>
      <c r="F8" s="11"/>
      <c r="G8" s="10"/>
      <c r="H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>
      <selection activeCell="G16" sqref="G16"/>
    </sheetView>
  </sheetViews>
  <sheetFormatPr defaultColWidth="8.94921875" defaultRowHeight="13.5" x14ac:dyDescent="0.15"/>
  <cols>
    <col min="1" max="1" width="14.33984375" customWidth="1"/>
    <col min="4" max="4" width="12.625"/>
    <col min="5" max="6" width="25.25390625" customWidth="1"/>
    <col min="7" max="7" width="15.93359375" customWidth="1"/>
    <col min="10" max="10" width="12.625"/>
    <col min="11" max="11" width="26.35546875" customWidth="1"/>
    <col min="12" max="12" width="23.29296875" customWidth="1"/>
  </cols>
  <sheetData>
    <row r="1" spans="1:12" ht="15" x14ac:dyDescent="0.1">
      <c r="A1" s="1" t="s">
        <v>26</v>
      </c>
      <c r="B1" s="2" t="s">
        <v>27</v>
      </c>
      <c r="C1" s="2" t="s">
        <v>28</v>
      </c>
      <c r="E1" s="2" t="s">
        <v>29</v>
      </c>
      <c r="F1" s="2"/>
      <c r="G1" s="1" t="s">
        <v>30</v>
      </c>
      <c r="H1" s="2" t="s">
        <v>31</v>
      </c>
      <c r="I1" s="2" t="s">
        <v>32</v>
      </c>
      <c r="K1" s="2" t="s">
        <v>33</v>
      </c>
    </row>
    <row r="2" spans="1:12" x14ac:dyDescent="0.15">
      <c r="A2" s="3"/>
      <c r="B2">
        <v>7.8643999999999998</v>
      </c>
      <c r="C2">
        <v>7.8522999999999996</v>
      </c>
      <c r="D2">
        <f t="shared" ref="D2:D7" si="0">C2/B2</f>
        <v>0.99846142108743197</v>
      </c>
      <c r="E2">
        <f t="shared" ref="E2:E7" si="1">B2*0.999</f>
        <v>7.8565356</v>
      </c>
      <c r="F2" s="14" t="s">
        <v>34</v>
      </c>
      <c r="H2">
        <v>7.8141999999999996</v>
      </c>
      <c r="I2">
        <v>7.8261000000000003</v>
      </c>
      <c r="J2">
        <f t="shared" ref="J2:J7" si="2">H2/I2</f>
        <v>0.99847944697869895</v>
      </c>
      <c r="K2">
        <f t="shared" ref="K2:K7" si="3">H2/0.999</f>
        <v>7.8220220220220202</v>
      </c>
      <c r="L2" s="14" t="s">
        <v>34</v>
      </c>
    </row>
    <row r="3" spans="1:12" x14ac:dyDescent="0.15">
      <c r="A3" s="3"/>
      <c r="B3">
        <v>7.8644999999999996</v>
      </c>
      <c r="C3">
        <v>7.8525</v>
      </c>
      <c r="D3">
        <f t="shared" si="0"/>
        <v>0.99847415601754697</v>
      </c>
      <c r="E3">
        <f t="shared" si="1"/>
        <v>7.8566355000000003</v>
      </c>
      <c r="F3" s="15"/>
      <c r="H3">
        <v>7.8143000000000002</v>
      </c>
      <c r="I3">
        <v>7.8262999999999998</v>
      </c>
      <c r="J3">
        <f t="shared" si="2"/>
        <v>0.99846670840627105</v>
      </c>
      <c r="K3">
        <f t="shared" si="3"/>
        <v>7.8221221221221198</v>
      </c>
      <c r="L3" s="15"/>
    </row>
    <row r="4" spans="1:12" x14ac:dyDescent="0.15">
      <c r="B4">
        <v>7.8627000000000002</v>
      </c>
      <c r="C4">
        <v>7.8506999999999998</v>
      </c>
      <c r="D4">
        <f t="shared" si="0"/>
        <v>0.99847380670761898</v>
      </c>
      <c r="E4">
        <f t="shared" si="1"/>
        <v>7.8548372999999998</v>
      </c>
      <c r="F4" s="15"/>
      <c r="H4">
        <v>7.8125</v>
      </c>
      <c r="I4">
        <v>7.8244999999999996</v>
      </c>
      <c r="J4">
        <f t="shared" si="2"/>
        <v>0.99846635567767905</v>
      </c>
      <c r="K4">
        <f t="shared" si="3"/>
        <v>7.8203203203203202</v>
      </c>
      <c r="L4" s="15"/>
    </row>
    <row r="5" spans="1:12" x14ac:dyDescent="0.15">
      <c r="B5">
        <v>7.8647999999999998</v>
      </c>
      <c r="C5">
        <v>7.8528000000000002</v>
      </c>
      <c r="D5">
        <f t="shared" si="0"/>
        <v>0.99847421422032401</v>
      </c>
      <c r="E5">
        <f t="shared" si="1"/>
        <v>7.8569351999999997</v>
      </c>
      <c r="F5" s="15"/>
      <c r="H5">
        <v>7.8146000000000004</v>
      </c>
      <c r="I5">
        <v>7.8266</v>
      </c>
      <c r="J5">
        <f t="shared" si="2"/>
        <v>0.99846676717859595</v>
      </c>
      <c r="K5">
        <f t="shared" si="3"/>
        <v>7.8224224224224201</v>
      </c>
      <c r="L5" s="15"/>
    </row>
    <row r="6" spans="1:12" x14ac:dyDescent="0.15">
      <c r="B6">
        <v>7.8616000000000001</v>
      </c>
      <c r="C6">
        <v>7.8498999999999999</v>
      </c>
      <c r="D6">
        <f t="shared" si="0"/>
        <v>0.99851175333265496</v>
      </c>
      <c r="E6">
        <f t="shared" si="1"/>
        <v>7.8537384000000001</v>
      </c>
      <c r="F6" s="15"/>
      <c r="H6">
        <v>7.8113999999999999</v>
      </c>
      <c r="I6">
        <v>7.8236999999999997</v>
      </c>
      <c r="J6">
        <f t="shared" si="2"/>
        <v>0.99842785382875099</v>
      </c>
      <c r="K6">
        <f t="shared" si="3"/>
        <v>7.81921921921922</v>
      </c>
      <c r="L6" s="15"/>
    </row>
    <row r="7" spans="1:12" x14ac:dyDescent="0.15">
      <c r="B7">
        <v>7.8620999999999999</v>
      </c>
      <c r="C7">
        <v>7.8493000000000004</v>
      </c>
      <c r="D7">
        <f t="shared" si="0"/>
        <v>0.99837193625112897</v>
      </c>
      <c r="E7">
        <f t="shared" si="1"/>
        <v>7.8542379000000002</v>
      </c>
      <c r="F7" s="15"/>
      <c r="H7">
        <v>7.8118999999999996</v>
      </c>
      <c r="I7">
        <v>7.8231000000000002</v>
      </c>
      <c r="J7">
        <f t="shared" si="2"/>
        <v>0.99856834247293302</v>
      </c>
      <c r="K7">
        <f t="shared" si="3"/>
        <v>7.8197197197197204</v>
      </c>
      <c r="L7" s="15"/>
    </row>
  </sheetData>
  <mergeCells count="2">
    <mergeCell ref="F2:F7"/>
    <mergeCell ref="L2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需求</vt:lpstr>
      <vt:lpstr>模版</vt:lpstr>
      <vt:lpstr>汇率参考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choi</dc:creator>
  <cp:lastModifiedBy>钧誉资产</cp:lastModifiedBy>
  <dcterms:created xsi:type="dcterms:W3CDTF">2026-04-01T08:37:00Z</dcterms:created>
  <dcterms:modified xsi:type="dcterms:W3CDTF">2026-04-01T03:00:52Z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2026-04-01T00:37:32Z</vt:filetime>
  </property>
  <property fmtid="{D5CDD505-2E9C-101B-9397-08002B2CF9AE}" pid="4" name="UsrData">
    <vt:lpwstr>69cc68ca38f61c001f3f85bewl</vt:lpwstr>
  </property>
  <property fmtid="{D5CDD505-2E9C-101B-9397-08002B2CF9AE}" pid="5" name="ICV">
    <vt:lpwstr>B34C2D343E024EB6824DEA29F60CC757_13</vt:lpwstr>
  </property>
  <property fmtid="{D5CDD505-2E9C-101B-9397-08002B2CF9AE}" pid="6" name="KSOProductBuildVer">
    <vt:lpwstr>2052-12.1.0.25225</vt:lpwstr>
  </property>
  <property fmtid="{D5CDD505-2E9C-101B-9397-08002B2CF9AE}" pid="7" name="CalculationRule">
    <vt:i4>0</vt:i4>
  </property>
</Properties>
</file>